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  <sheet name="Report View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HW1</t>
        </is>
      </c>
      <c r="C1" t="inlineStr">
        <is>
          <t xml:space="preserve">HW2</t>
        </is>
      </c>
      <c r="D1" t="inlineStr">
        <is>
          <t xml:space="preserve">HW3</t>
        </is>
      </c>
      <c r="E1" t="inlineStr">
        <is>
          <t xml:space="preserve">Quiz1</t>
        </is>
      </c>
      <c r="F1" t="inlineStr">
        <is>
          <t xml:space="preserve">Quiz2</t>
        </is>
      </c>
      <c r="G1" t="inlineStr">
        <is>
          <t xml:space="preserve">Quiz3</t>
        </is>
      </c>
      <c r="H1" t="inlineStr">
        <is>
          <t xml:space="preserve">Exam 1</t>
        </is>
      </c>
      <c r="I1" t="inlineStr">
        <is>
          <t xml:space="preserve">Exam 2</t>
        </is>
      </c>
      <c r="J1" t="inlineStr">
        <is>
          <t xml:space="preserve">Exam 3</t>
        </is>
      </c>
      <c r="K1" t="inlineStr">
        <is>
          <t xml:space="preserve">Exam 4</t>
        </is>
      </c>
      <c r="L1" t="inlineStr">
        <is>
          <t xml:space="preserve">Exam 5</t>
        </is>
      </c>
      <c r="M1" t="inlineStr">
        <is>
          <t xml:space="preserve">Exam 1 E.C.</t>
        </is>
      </c>
      <c r="N1" t="inlineStr">
        <is>
          <t xml:space="preserve">Exam 2 E.C.</t>
        </is>
      </c>
      <c r="O1" t="inlineStr">
        <is>
          <t xml:space="preserve">Exam 3 E.C.</t>
        </is>
      </c>
      <c r="P1" t="inlineStr">
        <is>
          <t xml:space="preserve">Exam 4 E.C.</t>
        </is>
      </c>
      <c r="Q1" t="inlineStr">
        <is>
          <t xml:space="preserve">Exam 5 E.C.</t>
        </is>
      </c>
    </row>
    <row r="2">
      <c r="A2" t="inlineStr">
        <is>
          <t xml:space="preserve">John Doe</t>
        </is>
      </c>
      <c r="B2">
        <v>80</v>
      </c>
      <c r="C2">
        <v>85</v>
      </c>
      <c r="D2">
        <v>90</v>
      </c>
      <c r="E2">
        <v>75</v>
      </c>
      <c r="F2">
        <v>80</v>
      </c>
      <c r="G2">
        <v>85</v>
      </c>
      <c r="H2">
        <v>78</v>
      </c>
      <c r="I2">
        <v>75</v>
      </c>
      <c r="J2">
        <v>80</v>
      </c>
      <c r="K2">
        <v>76</v>
      </c>
      <c r="L2">
        <v>78</v>
      </c>
      <c r="M2">
        <v>50</v>
      </c>
      <c r="N2">
        <v>33</v>
      </c>
      <c r="O2">
        <v>0</v>
      </c>
      <c r="P2">
        <v>33</v>
      </c>
      <c r="Q2">
        <v>50</v>
      </c>
    </row>
    <row r="3">
      <c r="A3" t="inlineStr">
        <is>
          <t xml:space="preserve">Jane Doe</t>
        </is>
      </c>
      <c r="B3">
        <v>88</v>
      </c>
      <c r="C3">
        <v>92</v>
      </c>
      <c r="D3">
        <v>96</v>
      </c>
      <c r="E3">
        <v>85</v>
      </c>
      <c r="F3">
        <v>88</v>
      </c>
      <c r="G3">
        <v>91</v>
      </c>
      <c r="H3">
        <v>90</v>
      </c>
      <c r="I3">
        <v>85</v>
      </c>
      <c r="J3">
        <v>91</v>
      </c>
      <c r="K3">
        <v>88</v>
      </c>
      <c r="L3">
        <v>93</v>
      </c>
      <c r="M3">
        <v>100</v>
      </c>
      <c r="N3">
        <v>100</v>
      </c>
      <c r="O3">
        <v>67</v>
      </c>
      <c r="P3">
        <v>100</v>
      </c>
      <c r="Q3">
        <v>100</v>
      </c>
    </row>
    <row r="4">
      <c r="A4" t="inlineStr">
        <is>
          <t xml:space="preserve">Jamie Doe</t>
        </is>
      </c>
      <c r="B4">
        <v>70</v>
      </c>
      <c r="C4">
        <v>74</v>
      </c>
      <c r="D4">
        <v>78</v>
      </c>
      <c r="E4">
        <v>65</v>
      </c>
      <c r="F4">
        <v>67.5</v>
      </c>
      <c r="G4">
        <v>70</v>
      </c>
      <c r="H4">
        <v>60</v>
      </c>
      <c r="I4">
        <v>58</v>
      </c>
      <c r="J4">
        <v>71</v>
      </c>
      <c r="K4">
        <v>65</v>
      </c>
      <c r="L4">
        <v>62</v>
      </c>
      <c r="M4">
        <v>50</v>
      </c>
      <c r="N4">
        <v>0</v>
      </c>
      <c r="O4">
        <v>33</v>
      </c>
      <c r="P4">
        <v>0</v>
      </c>
      <c r="Q4">
        <v>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Homework Avg. Weight</t>
        </is>
      </c>
      <c r="C1" t="inlineStr">
        <is>
          <t xml:space="preserve">Homework Avg. Score</t>
        </is>
      </c>
      <c r="D1" t="inlineStr">
        <is>
          <t xml:space="preserve">Homework Avg. Points</t>
        </is>
      </c>
      <c r="E1" t="inlineStr">
        <is>
          <t xml:space="preserve">Quiz Avg. Weight</t>
        </is>
      </c>
      <c r="F1" t="inlineStr">
        <is>
          <t xml:space="preserve">Quiz Avg. Score</t>
        </is>
      </c>
      <c r="G1" t="inlineStr">
        <is>
          <t xml:space="preserve">Quiz Avg. Points</t>
        </is>
      </c>
      <c r="H1" t="inlineStr">
        <is>
          <t xml:space="preserve">---</t>
        </is>
      </c>
      <c r="I1" t="inlineStr">
        <is>
          <t xml:space="preserve">Exam 1 Weight</t>
        </is>
      </c>
      <c r="J1" t="inlineStr">
        <is>
          <t xml:space="preserve">Exam 1 Score</t>
        </is>
      </c>
      <c r="K1" t="inlineStr">
        <is>
          <t xml:space="preserve">Exam 1 Points</t>
        </is>
      </c>
      <c r="L1" t="inlineStr">
        <is>
          <t xml:space="preserve">Exam 2 Weight</t>
        </is>
      </c>
      <c r="M1" t="inlineStr">
        <is>
          <t xml:space="preserve">Exam 2 Score</t>
        </is>
      </c>
      <c r="N1" t="inlineStr">
        <is>
          <t xml:space="preserve">Exam 2 Points</t>
        </is>
      </c>
      <c r="O1" t="inlineStr">
        <is>
          <t xml:space="preserve">Exam 3 Weight</t>
        </is>
      </c>
      <c r="P1" t="inlineStr">
        <is>
          <t xml:space="preserve">Exam 3 Score</t>
        </is>
      </c>
      <c r="Q1" t="inlineStr">
        <is>
          <t xml:space="preserve">Exam 3 Points</t>
        </is>
      </c>
      <c r="R1" t="inlineStr">
        <is>
          <t xml:space="preserve">Exam 4 Weight</t>
        </is>
      </c>
      <c r="S1" t="inlineStr">
        <is>
          <t xml:space="preserve">Exam 4 Score</t>
        </is>
      </c>
      <c r="T1" t="inlineStr">
        <is>
          <t xml:space="preserve">Exam 4 Points</t>
        </is>
      </c>
      <c r="U1" t="inlineStr">
        <is>
          <t xml:space="preserve">Exam 5 Weight</t>
        </is>
      </c>
      <c r="V1" t="inlineStr">
        <is>
          <t xml:space="preserve">Exam 5 Score</t>
        </is>
      </c>
      <c r="W1" t="inlineStr">
        <is>
          <t xml:space="preserve">Exam 5 Points</t>
        </is>
      </c>
      <c r="X1" t="inlineStr">
        <is>
          <t xml:space="preserve">---</t>
        </is>
      </c>
      <c r="Y1" t="inlineStr">
        <is>
          <t xml:space="preserve">Exam 1 E.C. Weight</t>
        </is>
      </c>
      <c r="Z1" t="inlineStr">
        <is>
          <t xml:space="preserve">Exam 1 E.C. Score</t>
        </is>
      </c>
      <c r="AA1" t="inlineStr">
        <is>
          <t xml:space="preserve">Exam 1 E.C. Points</t>
        </is>
      </c>
      <c r="AB1" t="inlineStr">
        <is>
          <t xml:space="preserve">Exam 2 E.C. Weight</t>
        </is>
      </c>
      <c r="AC1" t="inlineStr">
        <is>
          <t xml:space="preserve">Exam 2 E.C. Score</t>
        </is>
      </c>
      <c r="AD1" t="inlineStr">
        <is>
          <t xml:space="preserve">Exam 2 E.C. Points</t>
        </is>
      </c>
      <c r="AE1" t="inlineStr">
        <is>
          <t xml:space="preserve">Exam 3 E.C. Weight</t>
        </is>
      </c>
      <c r="AF1" t="inlineStr">
        <is>
          <t xml:space="preserve">Exam 3 E.C. Score</t>
        </is>
      </c>
      <c r="AG1" t="inlineStr">
        <is>
          <t xml:space="preserve">Exam 3 E.C. Points</t>
        </is>
      </c>
      <c r="AH1" t="inlineStr">
        <is>
          <t xml:space="preserve">Exam 4 E.C. Weight</t>
        </is>
      </c>
      <c r="AI1" t="inlineStr">
        <is>
          <t xml:space="preserve">Exam 4 E.C. Score</t>
        </is>
      </c>
      <c r="AJ1" t="inlineStr">
        <is>
          <t xml:space="preserve">Exam 4 E.C. Points</t>
        </is>
      </c>
      <c r="AK1" t="inlineStr">
        <is>
          <t xml:space="preserve">Exam 5 E.C. Weight</t>
        </is>
      </c>
      <c r="AL1" t="inlineStr">
        <is>
          <t xml:space="preserve">Exam 5 E.C. Score</t>
        </is>
      </c>
      <c r="AM1" t="inlineStr">
        <is>
          <t xml:space="preserve">Exam 5 E.C. Points</t>
        </is>
      </c>
      <c r="AN1" t="inlineStr">
        <is>
          <t xml:space="preserve">Current Points</t>
        </is>
      </c>
      <c r="AO1" t="inlineStr">
        <is>
          <t xml:space="preserve">Current Total</t>
        </is>
      </c>
      <c r="AP1" t="inlineStr">
        <is>
          <t xml:space="preserve">Weight Summary</t>
        </is>
      </c>
      <c r="AQ1" t="inlineStr">
        <is>
          <t xml:space="preserve">Need D</t>
        </is>
      </c>
      <c r="AR1" t="inlineStr">
        <is>
          <t xml:space="preserve">Need C</t>
        </is>
      </c>
      <c r="AS1" t="inlineStr">
        <is>
          <t xml:space="preserve">Need B</t>
        </is>
      </c>
      <c r="AT1" t="inlineStr">
        <is>
          <t xml:space="preserve">Need A</t>
        </is>
      </c>
    </row>
    <row r="2">
      <c r="A2" t="str">
        <f>Roster!A2</f>
        <v>John Doe</v>
      </c>
      <c r="B2">
        <v>15</v>
      </c>
      <c r="C2">
        <f>AVERAGE(Roster!B2:D2)</f>
        <v>85.0</v>
      </c>
      <c r="D2">
        <f>ROUND(B2*C2/100,1)</f>
        <v>12.8</v>
      </c>
      <c r="E2">
        <v>10</v>
      </c>
      <c r="F2">
        <f>AVERAGE(Roster!E2:G2)</f>
        <v>80.0</v>
      </c>
      <c r="G2">
        <f>ROUND(E2*F2/100,1)</f>
        <v>8.0</v>
      </c>
      <c r="H2" t="inlineStr">
        <is>
          <t xml:space="preserve">---</t>
        </is>
      </c>
      <c r="I2">
        <v>10</v>
      </c>
      <c r="J2">
        <f>Roster!H2</f>
        <v>78</v>
      </c>
      <c r="K2">
        <f>ROUND(I2*J2/100,1)</f>
        <v>7.8</v>
      </c>
      <c r="L2">
        <v>10</v>
      </c>
      <c r="M2">
        <f>Roster!I2</f>
        <v>75</v>
      </c>
      <c r="N2">
        <f>ROUND(L2*M2/100,1)</f>
        <v>7.5</v>
      </c>
      <c r="O2">
        <v>10</v>
      </c>
      <c r="P2">
        <f>Roster!J2</f>
        <v>80</v>
      </c>
      <c r="Q2">
        <f>ROUND(O2*P2/100,1)</f>
        <v>8.0</v>
      </c>
      <c r="R2">
        <v>10</v>
      </c>
      <c r="S2">
        <f>Roster!K2</f>
        <v>76</v>
      </c>
      <c r="T2">
        <f>ROUND(R2*S2/100,1)</f>
        <v>7.6</v>
      </c>
      <c r="U2">
        <v>10</v>
      </c>
      <c r="V2">
        <f>Roster!L2</f>
        <v>78</v>
      </c>
      <c r="W2">
        <f>ROUND(U2*V2/100,1)</f>
        <v>7.8</v>
      </c>
      <c r="X2" t="inlineStr">
        <is>
          <t xml:space="preserve">---</t>
        </is>
      </c>
      <c r="Y2">
        <v>3</v>
      </c>
      <c r="Z2">
        <f>Roster!M2</f>
        <v>50</v>
      </c>
      <c r="AA2">
        <f>ROUND(Y2*Z2/100,1)</f>
        <v>1.5</v>
      </c>
      <c r="AB2">
        <v>3</v>
      </c>
      <c r="AC2">
        <f>Roster!N2</f>
        <v>33</v>
      </c>
      <c r="AD2">
        <f>ROUND(AB2*AC2/100,1)</f>
        <v>1.0</v>
      </c>
      <c r="AE2">
        <v>3</v>
      </c>
      <c r="AF2">
        <f>Roster!O2</f>
        <v>0</v>
      </c>
      <c r="AG2">
        <f>ROUND(AE2*AF2/100,1)</f>
        <v>0.0</v>
      </c>
      <c r="AH2">
        <v>3</v>
      </c>
      <c r="AI2">
        <f>Roster!P2</f>
        <v>33</v>
      </c>
      <c r="AJ2">
        <f>ROUND(AH2*AI2/100,1)</f>
        <v>1.0</v>
      </c>
      <c r="AK2">
        <v>3</v>
      </c>
      <c r="AL2">
        <f>Roster!Q2</f>
        <v>50</v>
      </c>
      <c r="AM2">
        <f>ROUND(AK2*AL2/100,1)</f>
        <v>1.5</v>
      </c>
      <c r="AN2">
        <f>ROUND(D2+G2+K2+N2+Q2+T2+W2+AA2+AD2+AG2+AJ2+AM2,1)</f>
        <v>64.5</v>
      </c>
      <c r="AO2">
        <f>ROUND(AN2/75*100,1)</f>
        <v>86.0</v>
      </c>
      <c r="AP2" t="inlineStr">
        <is>
          <t xml:space="preserve">75% (+15% E.C.)</t>
        </is>
      </c>
      <c r="AQ2" t="str">
        <f>IF((60-AN2)/(25/100)&lt;=0,"Already secured",IF((60-AN2)/(25/100)&gt;100,TEXT((60-AN2)/(25/100),"0.0")&amp;"% (just out of reach)",TEXT((60-AN2)/(25/100),"0.0")&amp;"%"))</f>
        <v>Already secured</v>
      </c>
      <c r="AR2" t="str">
        <f>IF((70-AN2)/(25/100)&lt;=0,"Already secured",IF((70-AN2)/(25/100)&gt;100,TEXT((70-AN2)/(25/100),"0.0")&amp;"% (just out of reach)",TEXT((70-AN2)/(25/100),"0.0")&amp;"%"))</f>
        <v>22.0%</v>
      </c>
      <c r="AS2" t="str">
        <f>IF((80-AN2)/(25/100)&lt;=0,"Already secured",IF((80-AN2)/(25/100)&gt;100,TEXT((80-AN2)/(25/100),"0.0")&amp;"% (just out of reach)",TEXT((80-AN2)/(25/100),"0.0")&amp;"%"))</f>
        <v>62.0%</v>
      </c>
      <c r="AT2" t="str">
        <f>IF((90-AN2)/(25/100)&lt;=0,"Already secured",IF((90-AN2)/(25/100)&gt;100,TEXT((90-AN2)/(25/100),"0.0")&amp;"% (just out of reach)",TEXT((90-AN2)/(25/100),"0.0")&amp;"%"))</f>
        <v>102.0% (just out of reach)</v>
      </c>
    </row>
    <row r="3">
      <c r="A3" t="str">
        <f>Roster!A3</f>
        <v>Jane Doe</v>
      </c>
      <c r="B3">
        <v>15</v>
      </c>
      <c r="C3">
        <f>AVERAGE(Roster!B3:D3)</f>
        <v>92.0</v>
      </c>
      <c r="D3">
        <f>ROUND(B3*C3/100,1)</f>
        <v>13.8</v>
      </c>
      <c r="E3">
        <v>10</v>
      </c>
      <c r="F3">
        <f>AVERAGE(Roster!E3:G3)</f>
        <v>88.0</v>
      </c>
      <c r="G3">
        <f>ROUND(E3*F3/100,1)</f>
        <v>8.8</v>
      </c>
      <c r="H3" t="inlineStr">
        <is>
          <t xml:space="preserve">---</t>
        </is>
      </c>
      <c r="I3">
        <v>10</v>
      </c>
      <c r="J3">
        <f>Roster!H3</f>
        <v>90</v>
      </c>
      <c r="K3">
        <f>ROUND(I3*J3/100,1)</f>
        <v>9.0</v>
      </c>
      <c r="L3">
        <v>10</v>
      </c>
      <c r="M3">
        <f>Roster!I3</f>
        <v>85</v>
      </c>
      <c r="N3">
        <f>ROUND(L3*M3/100,1)</f>
        <v>8.5</v>
      </c>
      <c r="O3">
        <v>10</v>
      </c>
      <c r="P3">
        <f>Roster!J3</f>
        <v>91</v>
      </c>
      <c r="Q3">
        <f>ROUND(O3*P3/100,1)</f>
        <v>9.1</v>
      </c>
      <c r="R3">
        <v>10</v>
      </c>
      <c r="S3">
        <f>Roster!K3</f>
        <v>88</v>
      </c>
      <c r="T3">
        <f>ROUND(R3*S3/100,1)</f>
        <v>8.8</v>
      </c>
      <c r="U3">
        <v>10</v>
      </c>
      <c r="V3">
        <f>Roster!L3</f>
        <v>93</v>
      </c>
      <c r="W3">
        <f>ROUND(U3*V3/100,1)</f>
        <v>9.3</v>
      </c>
      <c r="X3" t="inlineStr">
        <is>
          <t xml:space="preserve">---</t>
        </is>
      </c>
      <c r="Y3">
        <v>3</v>
      </c>
      <c r="Z3">
        <f>Roster!M3</f>
        <v>100</v>
      </c>
      <c r="AA3">
        <f>ROUND(Y3*Z3/100,1)</f>
        <v>3.0</v>
      </c>
      <c r="AB3">
        <v>3</v>
      </c>
      <c r="AC3">
        <f>Roster!N3</f>
        <v>100</v>
      </c>
      <c r="AD3">
        <f>ROUND(AB3*AC3/100,1)</f>
        <v>3.0</v>
      </c>
      <c r="AE3">
        <v>3</v>
      </c>
      <c r="AF3">
        <f>Roster!O3</f>
        <v>67</v>
      </c>
      <c r="AG3">
        <f>ROUND(AE3*AF3/100,1)</f>
        <v>2.0</v>
      </c>
      <c r="AH3">
        <v>3</v>
      </c>
      <c r="AI3">
        <f>Roster!P3</f>
        <v>100</v>
      </c>
      <c r="AJ3">
        <f>ROUND(AH3*AI3/100,1)</f>
        <v>3.0</v>
      </c>
      <c r="AK3">
        <v>3</v>
      </c>
      <c r="AL3">
        <f>Roster!Q3</f>
        <v>100</v>
      </c>
      <c r="AM3">
        <f>ROUND(AK3*AL3/100,1)</f>
        <v>3.0</v>
      </c>
      <c r="AN3">
        <f>ROUND(D3+G3+K3+N3+Q3+T3+W3+AA3+AD3+AG3+AJ3+AM3,1)</f>
        <v>81.3</v>
      </c>
      <c r="AO3">
        <f>ROUND(AN3/75*100,1)</f>
        <v>108.4</v>
      </c>
      <c r="AP3" t="inlineStr">
        <is>
          <t xml:space="preserve">75% (+15% E.C.)</t>
        </is>
      </c>
      <c r="AQ3" t="str">
        <f>IF((60-AN3)/(25/100)&lt;=0,"Already secured",IF((60-AN3)/(25/100)&gt;100,TEXT((60-AN3)/(25/100),"0.0")&amp;"% (just out of reach)",TEXT((60-AN3)/(25/100),"0.0")&amp;"%"))</f>
        <v>Already secured</v>
      </c>
      <c r="AR3" t="str">
        <f>IF((70-AN3)/(25/100)&lt;=0,"Already secured",IF((70-AN3)/(25/100)&gt;100,TEXT((70-AN3)/(25/100),"0.0")&amp;"% (just out of reach)",TEXT((70-AN3)/(25/100),"0.0")&amp;"%"))</f>
        <v>Already secured</v>
      </c>
      <c r="AS3" t="str">
        <f>IF((80-AN3)/(25/100)&lt;=0,"Already secured",IF((80-AN3)/(25/100)&gt;100,TEXT((80-AN3)/(25/100),"0.0")&amp;"% (just out of reach)",TEXT((80-AN3)/(25/100),"0.0")&amp;"%"))</f>
        <v>Already secured</v>
      </c>
      <c r="AT3" t="str">
        <f>IF((90-AN3)/(25/100)&lt;=0,"Already secured",IF((90-AN3)/(25/100)&gt;100,TEXT((90-AN3)/(25/100),"0.0")&amp;"% (just out of reach)",TEXT((90-AN3)/(25/100),"0.0")&amp;"%"))</f>
        <v>34.8%</v>
      </c>
    </row>
    <row r="4">
      <c r="A4" t="str">
        <f>Roster!A4</f>
        <v>Jamie Doe</v>
      </c>
      <c r="B4">
        <v>15</v>
      </c>
      <c r="C4">
        <f>AVERAGE(Roster!B4:D4)</f>
        <v>74.0</v>
      </c>
      <c r="D4">
        <f>ROUND(B4*C4/100,1)</f>
        <v>11.1</v>
      </c>
      <c r="E4">
        <v>10</v>
      </c>
      <c r="F4">
        <f>AVERAGE(Roster!E4:G4)</f>
        <v>67.5</v>
      </c>
      <c r="G4">
        <f>ROUND(E4*F4/100,1)</f>
        <v>6.8</v>
      </c>
      <c r="H4" t="inlineStr">
        <is>
          <t xml:space="preserve">---</t>
        </is>
      </c>
      <c r="I4">
        <v>10</v>
      </c>
      <c r="J4">
        <f>Roster!H4</f>
        <v>60</v>
      </c>
      <c r="K4">
        <f>ROUND(I4*J4/100,1)</f>
        <v>6.0</v>
      </c>
      <c r="L4">
        <v>10</v>
      </c>
      <c r="M4">
        <f>Roster!I4</f>
        <v>58</v>
      </c>
      <c r="N4">
        <f>ROUND(L4*M4/100,1)</f>
        <v>5.8</v>
      </c>
      <c r="O4">
        <v>10</v>
      </c>
      <c r="P4">
        <f>Roster!J4</f>
        <v>71</v>
      </c>
      <c r="Q4">
        <f>ROUND(O4*P4/100,1)</f>
        <v>7.1</v>
      </c>
      <c r="R4">
        <v>10</v>
      </c>
      <c r="S4">
        <f>Roster!K4</f>
        <v>65</v>
      </c>
      <c r="T4">
        <f>ROUND(R4*S4/100,1)</f>
        <v>6.5</v>
      </c>
      <c r="U4">
        <v>10</v>
      </c>
      <c r="V4">
        <f>Roster!L4</f>
        <v>62</v>
      </c>
      <c r="W4">
        <f>ROUND(U4*V4/100,1)</f>
        <v>6.2</v>
      </c>
      <c r="X4" t="inlineStr">
        <is>
          <t xml:space="preserve">---</t>
        </is>
      </c>
      <c r="Y4">
        <v>3</v>
      </c>
      <c r="Z4">
        <f>Roster!M4</f>
        <v>50</v>
      </c>
      <c r="AA4">
        <f>ROUND(Y4*Z4/100,1)</f>
        <v>1.5</v>
      </c>
      <c r="AB4">
        <v>3</v>
      </c>
      <c r="AC4">
        <f>Roster!N4</f>
        <v>0</v>
      </c>
      <c r="AD4">
        <f>ROUND(AB4*AC4/100,1)</f>
        <v>0.0</v>
      </c>
      <c r="AE4">
        <v>3</v>
      </c>
      <c r="AF4">
        <f>Roster!O4</f>
        <v>33</v>
      </c>
      <c r="AG4">
        <f>ROUND(AE4*AF4/100,1)</f>
        <v>1.0</v>
      </c>
      <c r="AH4">
        <v>3</v>
      </c>
      <c r="AI4">
        <f>Roster!P4</f>
        <v>0</v>
      </c>
      <c r="AJ4">
        <f>ROUND(AH4*AI4/100,1)</f>
        <v>0.0</v>
      </c>
      <c r="AK4">
        <v>3</v>
      </c>
      <c r="AL4">
        <f>Roster!Q4</f>
        <v>50</v>
      </c>
      <c r="AM4">
        <f>ROUND(AK4*AL4/100,1)</f>
        <v>1.5</v>
      </c>
      <c r="AN4">
        <f>ROUND(D4+G4+K4+N4+Q4+T4+W4+AA4+AD4+AG4+AJ4+AM4,1)</f>
        <v>53.5</v>
      </c>
      <c r="AO4">
        <f>ROUND(AN4/75*100,1)</f>
        <v>71.3</v>
      </c>
      <c r="AP4" t="inlineStr">
        <is>
          <t xml:space="preserve">75% (+15% E.C.)</t>
        </is>
      </c>
      <c r="AQ4" t="str">
        <f>IF((60-AN4)/(25/100)&lt;=0,"Already secured",IF((60-AN4)/(25/100)&gt;100,TEXT((60-AN4)/(25/100),"0.0")&amp;"% (just out of reach)",TEXT((60-AN4)/(25/100),"0.0")&amp;"%"))</f>
        <v>26.0%</v>
      </c>
      <c r="AR4" t="str">
        <f>IF((70-AN4)/(25/100)&lt;=0,"Already secured",IF((70-AN4)/(25/100)&gt;100,TEXT((70-AN4)/(25/100),"0.0")&amp;"% (just out of reach)",TEXT((70-AN4)/(25/100),"0.0")&amp;"%"))</f>
        <v>66.0%</v>
      </c>
      <c r="AS4" t="str">
        <f>IF((80-AN4)/(25/100)&lt;=0,"Already secured",IF((80-AN4)/(25/100)&gt;100,TEXT((80-AN4)/(25/100),"0.0")&amp;"% (just out of reach)",TEXT((80-AN4)/(25/100),"0.0")&amp;"%"))</f>
        <v>106.0% (just out of reach)</v>
      </c>
      <c r="AT4" t="str">
        <f>IF((90-AN4)/(25/100)&lt;=0,"Already secured",IF((90-AN4)/(25/100)&gt;100,TEXT((90-AN4)/(25/100),"0.0")&amp;"% (just out of reach)",TEXT((90-AN4)/(25/100),"0.0")&amp;"%"))</f>
        <v>146.0% (just out of reach)</v>
      </c>
    </row>
  </sheetData>
</worksheet>
</file>